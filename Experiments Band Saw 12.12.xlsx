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vvsmbk/Downloads/"/>
    </mc:Choice>
  </mc:AlternateContent>
  <xr:revisionPtr revIDLastSave="0" documentId="8_{86D77758-6C1F-5048-A93F-6A8B3227C0AB}" xr6:coauthVersionLast="47" xr6:coauthVersionMax="47" xr10:uidLastSave="{00000000-0000-0000-0000-000000000000}"/>
  <bookViews>
    <workbookView xWindow="0" yWindow="700" windowWidth="34200" windowHeight="19760" xr2:uid="{37DF3477-6D37-E840-9A5E-36C1045112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41" i="1"/>
  <c r="F38" i="1"/>
  <c r="F37" i="1"/>
  <c r="F36" i="1"/>
  <c r="Q38" i="1"/>
  <c r="Q37" i="1"/>
  <c r="Q36" i="1"/>
  <c r="Q35" i="1"/>
  <c r="Q33" i="1"/>
  <c r="Q32" i="1"/>
  <c r="F35" i="1"/>
  <c r="Q31" i="1"/>
  <c r="F34" i="1"/>
  <c r="Q30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<sst xmlns="http://schemas.openxmlformats.org/spreadsheetml/2006/main" count="119" uniqueCount="39">
  <si>
    <t>Experiment No</t>
  </si>
  <si>
    <t>Piece No</t>
  </si>
  <si>
    <t>Material</t>
  </si>
  <si>
    <t>Timestamp Start</t>
  </si>
  <si>
    <t>Timestamp End</t>
  </si>
  <si>
    <t>Time Diff</t>
  </si>
  <si>
    <t>Material thickness (mm)</t>
  </si>
  <si>
    <t>Feed Rate</t>
  </si>
  <si>
    <t>Band Speed</t>
  </si>
  <si>
    <t>Setup Code (for the machine operator)</t>
  </si>
  <si>
    <t>Avg Current</t>
  </si>
  <si>
    <t xml:space="preserve">Result </t>
  </si>
  <si>
    <t>Comments</t>
  </si>
  <si>
    <t>Photo of the setup</t>
  </si>
  <si>
    <t>Loop 1</t>
  </si>
  <si>
    <t>steel</t>
  </si>
  <si>
    <t>Success</t>
  </si>
  <si>
    <t>Vibration Sensor moved closer to the saw</t>
  </si>
  <si>
    <t xml:space="preserve">yes </t>
  </si>
  <si>
    <t>Same thickness, different length of the piece. Louder then usual</t>
  </si>
  <si>
    <t>Same thickness, different length of the piece</t>
  </si>
  <si>
    <t>Way more quiet than previous ones</t>
  </si>
  <si>
    <t>Loop 2</t>
  </si>
  <si>
    <t>Fail</t>
  </si>
  <si>
    <t>Reconfiguration: dangerous piece setting</t>
  </si>
  <si>
    <t>Loop 3</t>
  </si>
  <si>
    <t>Banana shape Current curve</t>
  </si>
  <si>
    <t>High vibration. Fluctuating Current curve</t>
  </si>
  <si>
    <t>2,5</t>
  </si>
  <si>
    <t>4,1</t>
  </si>
  <si>
    <t>2,05</t>
  </si>
  <si>
    <t>4,5</t>
  </si>
  <si>
    <t>Partial Success</t>
  </si>
  <si>
    <t>Feed rate was reduced automatically to 51</t>
  </si>
  <si>
    <t>Feed rate was reduced automatically to 52</t>
  </si>
  <si>
    <t>No Piece</t>
  </si>
  <si>
    <t>Change from setap 6 to 1 during the cutting proccess without material (first -band speed, then - feed rate)</t>
  </si>
  <si>
    <t>Loop Test</t>
  </si>
  <si>
    <t>Change from setap 6 to 1 during the cutting proccess without material (first -band speed, then - feed rate) and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</si>
</sst>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6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164" fontId="0" fillId="0" borderId="0" xfId="0" applyNumberFormat="1"/>
    <xf numFmtId="0" fontId="0" fillId="0" borderId="6" xfId="0" applyBorder="1"/>
    <xf numFmtId="164" fontId="0" fillId="0" borderId="6" xfId="0" applyNumberFormat="1" applyBorder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0" fontId="0" fillId="0" borderId="14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2" borderId="6" xfId="0" applyFill="1" applyBorder="1"/>
    <xf numFmtId="0" fontId="1" fillId="3" borderId="9" xfId="0" applyFont="1" applyFill="1" applyBorder="1"/>
    <xf numFmtId="0" fontId="1" fillId="3" borderId="6" xfId="0" applyFont="1" applyFill="1" applyBorder="1"/>
    <xf numFmtId="164" fontId="1" fillId="3" borderId="6" xfId="0" applyNumberFormat="1" applyFont="1" applyFill="1" applyBorder="1"/>
    <xf numFmtId="0" fontId="0" fillId="2" borderId="13" xfId="0" applyFill="1" applyBorder="1"/>
    <xf numFmtId="0" fontId="3" fillId="0" borderId="6" xfId="0" applyFont="1" applyBorder="1"/>
    <xf numFmtId="0" fontId="0" fillId="2" borderId="14" xfId="0" applyFill="1" applyBorder="1"/>
    <xf numFmtId="0" fontId="0" fillId="2" borderId="11" xfId="0" applyFill="1" applyBorder="1"/>
    <xf numFmtId="0" fontId="0" fillId="0" borderId="6" xfId="0" applyBorder="1" applyAlignment="1">
      <alignment horizontal="right"/>
    </xf>
    <xf numFmtId="0" fontId="0" fillId="4" borderId="11" xfId="0" applyFill="1" applyBorder="1"/>
    <xf numFmtId="0" fontId="0" fillId="4" borderId="6" xfId="0" applyFill="1" applyBorder="1"/>
    <xf numFmtId="0" fontId="0" fillId="2" borderId="8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45"/>
    </xf>
    <xf numFmtId="0" fontId="5" fillId="0" borderId="8" xfId="0" applyFont="1" applyBorder="1" applyAlignment="1">
      <alignment horizontal="center" vertical="center" textRotation="45"/>
    </xf>
    <xf numFmtId="0" fontId="5" fillId="0" borderId="9" xfId="0" applyFont="1" applyBorder="1" applyAlignment="1">
      <alignment horizontal="center" vertical="center" textRotation="45"/>
    </xf>
    <xf numFmtId="0" fontId="5" fillId="0" borderId="6" xfId="0" applyFont="1" applyBorder="1" applyAlignment="1">
      <alignment horizontal="center" vertical="center" textRotation="45"/>
    </xf>
    <xf numFmtId="0" fontId="5" fillId="0" borderId="10" xfId="0" applyFont="1" applyBorder="1" applyAlignment="1">
      <alignment horizontal="center" vertical="center" textRotation="45"/>
    </xf>
    <xf numFmtId="0" fontId="5" fillId="0" borderId="11" xfId="0" applyFont="1" applyBorder="1" applyAlignment="1">
      <alignment horizontal="center" vertical="center" textRotation="45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4" fontId="0" fillId="0" borderId="25" xfId="0" applyNumberFormat="1" applyBorder="1" applyAlignment="1">
      <alignment horizontal="right" vertical="center"/>
    </xf>
    <xf numFmtId="164" fontId="0" fillId="0" borderId="14" xfId="0" applyNumberFormat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1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164" fontId="0" fillId="0" borderId="13" xfId="0" applyNumberFormat="1" applyBorder="1" applyAlignment="1">
      <alignment horizontal="right" vertical="center"/>
    </xf>
    <xf numFmtId="164" fontId="0" fillId="0" borderId="29" xfId="0" applyNumberFormat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2" borderId="25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742522</xdr:colOff>
      <xdr:row>27</xdr:row>
      <xdr:rowOff>149460</xdr:rowOff>
    </xdr:from>
    <xdr:ext cx="189604" cy="2380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1EC34A0-69D5-FCE3-EE73-3349450B03F5}"/>
                </a:ext>
              </a:extLst>
            </xdr:cNvPr>
            <xdr:cNvSpPr txBox="1"/>
          </xdr:nvSpPr>
          <xdr:spPr>
            <a:xfrm rot="18755346">
              <a:off x="16906314" y="6756768"/>
              <a:ext cx="238061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𝑨𝒗𝒈</m:t>
                        </m:r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𝑪𝒖𝒓𝒓𝒆𝒏𝒕</m:t>
                        </m:r>
                      </m:e>
                      <m:sub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de-DE" sz="1200" b="1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𝑨𝒗𝒈</m:t>
                        </m:r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𝑪𝒖𝒓𝒓𝒆𝒏𝒕</m:t>
                        </m:r>
                      </m:e>
                      <m:sub>
                        <m:r>
                          <a:rPr lang="de-DE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1EC34A0-69D5-FCE3-EE73-3349450B03F5}"/>
                </a:ext>
              </a:extLst>
            </xdr:cNvPr>
            <xdr:cNvSpPr txBox="1"/>
          </xdr:nvSpPr>
          <xdr:spPr>
            <a:xfrm rot="18755346">
              <a:off x="16906314" y="6756768"/>
              <a:ext cx="238061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de-DE" sz="1200" b="1" i="0">
                  <a:latin typeface="Cambria Math" panose="02040503050406030204" pitchFamily="18" charset="0"/>
                </a:rPr>
                <a:t>𝑨𝒗𝒈 𝑪𝒖𝒓𝒓𝒆𝒏𝒕</a:t>
              </a:r>
              <a:r>
                <a:rPr lang="en-US" sz="1200" b="1" i="0">
                  <a:latin typeface="Cambria Math" panose="02040503050406030204" pitchFamily="18" charset="0"/>
                </a:rPr>
                <a:t>〗_</a:t>
              </a:r>
              <a:r>
                <a:rPr lang="de-DE" sz="1200" b="1" i="0">
                  <a:latin typeface="Cambria Math" panose="02040503050406030204" pitchFamily="18" charset="0"/>
                </a:rPr>
                <a:t>𝟏−</a:t>
              </a:r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de-DE" sz="1200" b="1" i="0">
                  <a:latin typeface="Cambria Math" panose="02040503050406030204" pitchFamily="18" charset="0"/>
                </a:rPr>
                <a:t>𝑨𝒗𝒈 𝑪𝒖𝒓𝒓𝒆𝒏𝒕</a:t>
              </a:r>
              <a:r>
                <a:rPr lang="en-US" sz="1200" b="1" i="0">
                  <a:latin typeface="Cambria Math" panose="02040503050406030204" pitchFamily="18" charset="0"/>
                </a:rPr>
                <a:t>〗_</a:t>
              </a:r>
              <a:r>
                <a:rPr lang="de-DE" sz="1200" b="1" i="0">
                  <a:latin typeface="Cambria Math" panose="02040503050406030204" pitchFamily="18" charset="0"/>
                </a:rPr>
                <a:t>𝟎</a:t>
              </a:r>
              <a:endParaRPr lang="en-US" sz="12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894C-1B5D-CE43-8434-FFA9394DC374}">
  <dimension ref="A1:Q135"/>
  <sheetViews>
    <sheetView tabSelected="1" workbookViewId="0">
      <selection activeCell="K39" sqref="K39"/>
    </sheetView>
  </sheetViews>
  <sheetFormatPr defaultColWidth="11" defaultRowHeight="15.95"/>
  <cols>
    <col min="1" max="1" width="13" bestFit="1" customWidth="1"/>
    <col min="2" max="3" width="13" customWidth="1"/>
    <col min="4" max="4" width="14.375" bestFit="1" customWidth="1"/>
    <col min="5" max="5" width="13.375" bestFit="1" customWidth="1"/>
    <col min="6" max="6" width="13.375" customWidth="1"/>
    <col min="7" max="7" width="20.875" bestFit="1" customWidth="1"/>
    <col min="8" max="8" width="9.375" bestFit="1" customWidth="1"/>
    <col min="10" max="10" width="10.125" customWidth="1"/>
    <col min="12" max="12" width="13.5" bestFit="1" customWidth="1"/>
    <col min="13" max="13" width="55" bestFit="1" customWidth="1"/>
    <col min="14" max="14" width="16" bestFit="1" customWidth="1"/>
  </cols>
  <sheetData>
    <row r="1" spans="1:1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9" t="s">
        <v>14</v>
      </c>
      <c r="P1" s="39"/>
      <c r="Q1" s="40"/>
    </row>
    <row r="2" spans="1:17">
      <c r="A2" s="6">
        <v>1</v>
      </c>
      <c r="B2" s="2">
        <v>1</v>
      </c>
      <c r="C2" s="2" t="s">
        <v>15</v>
      </c>
      <c r="D2" s="3">
        <v>0.77505787037037033</v>
      </c>
      <c r="E2" s="3">
        <v>0.77565972222222224</v>
      </c>
      <c r="F2" s="3">
        <f t="shared" ref="F2:F39" si="0">E2-D2</f>
        <v>6.0185185185190893E-4</v>
      </c>
      <c r="G2" s="2">
        <v>29.2</v>
      </c>
      <c r="H2" s="2">
        <v>39</v>
      </c>
      <c r="I2" s="2">
        <v>41</v>
      </c>
      <c r="J2" s="2">
        <v>1</v>
      </c>
      <c r="K2" s="2">
        <v>2.1</v>
      </c>
      <c r="L2" s="17" t="s">
        <v>16</v>
      </c>
      <c r="M2" s="2" t="s">
        <v>17</v>
      </c>
      <c r="N2" s="2" t="s">
        <v>18</v>
      </c>
      <c r="O2" s="41"/>
      <c r="P2" s="41"/>
      <c r="Q2" s="42"/>
    </row>
    <row r="3" spans="1:17">
      <c r="A3" s="6">
        <v>2</v>
      </c>
      <c r="B3" s="2">
        <v>1</v>
      </c>
      <c r="C3" s="2" t="s">
        <v>15</v>
      </c>
      <c r="D3" s="3">
        <v>0.78311342592592592</v>
      </c>
      <c r="E3" s="3">
        <v>0.78391203703703705</v>
      </c>
      <c r="F3" s="3">
        <f t="shared" si="0"/>
        <v>7.9861111111112493E-4</v>
      </c>
      <c r="G3" s="2">
        <v>29.2</v>
      </c>
      <c r="H3" s="2">
        <v>25</v>
      </c>
      <c r="I3" s="2">
        <v>41</v>
      </c>
      <c r="J3" s="2">
        <v>2</v>
      </c>
      <c r="K3" s="2">
        <v>1.8</v>
      </c>
      <c r="L3" s="17" t="s">
        <v>16</v>
      </c>
      <c r="M3" s="2"/>
      <c r="N3" s="2"/>
      <c r="O3" s="41"/>
      <c r="P3" s="41"/>
      <c r="Q3" s="42"/>
    </row>
    <row r="4" spans="1:17">
      <c r="A4" s="6">
        <v>3</v>
      </c>
      <c r="B4" s="2">
        <v>1</v>
      </c>
      <c r="C4" s="2" t="s">
        <v>15</v>
      </c>
      <c r="D4" s="3">
        <v>0.7879976851851852</v>
      </c>
      <c r="E4" s="3">
        <v>0.78839120370370375</v>
      </c>
      <c r="F4" s="3">
        <f t="shared" si="0"/>
        <v>3.9351851851854303E-4</v>
      </c>
      <c r="G4" s="2">
        <v>29.2</v>
      </c>
      <c r="H4" s="2">
        <v>53</v>
      </c>
      <c r="I4" s="2">
        <v>41</v>
      </c>
      <c r="J4" s="2">
        <v>3</v>
      </c>
      <c r="K4" s="2">
        <v>2.15</v>
      </c>
      <c r="L4" s="17" t="s">
        <v>16</v>
      </c>
      <c r="M4" s="2"/>
      <c r="N4" s="2"/>
      <c r="O4" s="41"/>
      <c r="P4" s="41"/>
      <c r="Q4" s="42"/>
    </row>
    <row r="5" spans="1:17">
      <c r="A5" s="6">
        <v>4</v>
      </c>
      <c r="B5" s="2">
        <v>1</v>
      </c>
      <c r="C5" s="2" t="s">
        <v>15</v>
      </c>
      <c r="D5" s="3">
        <v>0.79214120370370367</v>
      </c>
      <c r="E5" s="3">
        <v>0.79252314814814817</v>
      </c>
      <c r="F5" s="3">
        <f t="shared" si="0"/>
        <v>3.8194444444450415E-4</v>
      </c>
      <c r="G5" s="2">
        <v>29.2</v>
      </c>
      <c r="H5" s="2">
        <v>39</v>
      </c>
      <c r="I5" s="2">
        <v>26</v>
      </c>
      <c r="J5" s="2">
        <v>4</v>
      </c>
      <c r="K5" s="2">
        <v>1.47</v>
      </c>
      <c r="L5" s="17" t="s">
        <v>16</v>
      </c>
      <c r="M5" s="2" t="s">
        <v>19</v>
      </c>
      <c r="N5" s="2" t="s">
        <v>18</v>
      </c>
      <c r="O5" s="41"/>
      <c r="P5" s="41"/>
      <c r="Q5" s="42"/>
    </row>
    <row r="6" spans="1:17">
      <c r="A6" s="6">
        <v>5</v>
      </c>
      <c r="B6" s="2">
        <v>1</v>
      </c>
      <c r="C6" s="2" t="s">
        <v>15</v>
      </c>
      <c r="D6" s="3">
        <v>0.79461805555555554</v>
      </c>
      <c r="E6" s="3">
        <v>0.79498842592592589</v>
      </c>
      <c r="F6" s="3">
        <f t="shared" si="0"/>
        <v>3.7037037037035425E-4</v>
      </c>
      <c r="G6" s="2">
        <v>29.2</v>
      </c>
      <c r="H6" s="2">
        <v>39</v>
      </c>
      <c r="I6" s="2">
        <v>56</v>
      </c>
      <c r="J6" s="2">
        <v>5</v>
      </c>
      <c r="K6" s="2">
        <v>2.7</v>
      </c>
      <c r="L6" s="17" t="s">
        <v>16</v>
      </c>
      <c r="M6" s="2" t="s">
        <v>20</v>
      </c>
      <c r="N6" s="2"/>
      <c r="O6" s="41"/>
      <c r="P6" s="41"/>
      <c r="Q6" s="42"/>
    </row>
    <row r="7" spans="1:17">
      <c r="A7" s="6">
        <v>6</v>
      </c>
      <c r="B7" s="2">
        <v>2</v>
      </c>
      <c r="C7" s="2" t="s">
        <v>15</v>
      </c>
      <c r="D7" s="3">
        <v>0.79966435185185181</v>
      </c>
      <c r="E7" s="3">
        <v>0.80062500000000003</v>
      </c>
      <c r="F7" s="3">
        <f t="shared" si="0"/>
        <v>9.606481481482243E-4</v>
      </c>
      <c r="G7" s="2">
        <v>26</v>
      </c>
      <c r="H7" s="2">
        <v>25</v>
      </c>
      <c r="I7" s="2">
        <v>26</v>
      </c>
      <c r="J7" s="2">
        <v>6</v>
      </c>
      <c r="K7" s="2">
        <v>1.3</v>
      </c>
      <c r="L7" s="17" t="s">
        <v>16</v>
      </c>
      <c r="M7" s="2" t="s">
        <v>21</v>
      </c>
      <c r="N7" s="2" t="s">
        <v>18</v>
      </c>
      <c r="O7" s="41"/>
      <c r="P7" s="41"/>
      <c r="Q7" s="42"/>
    </row>
    <row r="8" spans="1:17">
      <c r="A8" s="6">
        <v>7</v>
      </c>
      <c r="B8" s="2">
        <v>2</v>
      </c>
      <c r="C8" s="2" t="s">
        <v>15</v>
      </c>
      <c r="D8" s="3">
        <v>0.80255787037037041</v>
      </c>
      <c r="E8" s="3">
        <v>0.80300925925925926</v>
      </c>
      <c r="F8" s="3">
        <f t="shared" si="0"/>
        <v>4.5138888888884843E-4</v>
      </c>
      <c r="G8" s="2">
        <v>26</v>
      </c>
      <c r="H8" s="2">
        <v>53</v>
      </c>
      <c r="I8" s="2">
        <v>56</v>
      </c>
      <c r="J8" s="2">
        <v>7</v>
      </c>
      <c r="K8" s="2">
        <v>2.7</v>
      </c>
      <c r="L8" s="17" t="s">
        <v>16</v>
      </c>
      <c r="M8" s="2"/>
      <c r="N8" s="2"/>
      <c r="O8" s="41"/>
      <c r="P8" s="41"/>
      <c r="Q8" s="42"/>
    </row>
    <row r="9" spans="1:17">
      <c r="A9" s="6">
        <v>8</v>
      </c>
      <c r="B9" s="2">
        <v>2</v>
      </c>
      <c r="C9" s="2" t="s">
        <v>15</v>
      </c>
      <c r="D9" s="3">
        <v>0.80519675925925926</v>
      </c>
      <c r="E9" s="3">
        <v>0.80612268518518515</v>
      </c>
      <c r="F9" s="3">
        <f t="shared" si="0"/>
        <v>9.2592592592588563E-4</v>
      </c>
      <c r="G9" s="2">
        <v>26</v>
      </c>
      <c r="H9" s="2">
        <v>25</v>
      </c>
      <c r="I9" s="2">
        <v>56</v>
      </c>
      <c r="J9" s="2">
        <v>8</v>
      </c>
      <c r="K9" s="2">
        <v>2.2000000000000002</v>
      </c>
      <c r="L9" s="17" t="s">
        <v>16</v>
      </c>
      <c r="M9" s="2"/>
      <c r="N9" s="2"/>
      <c r="O9" s="41"/>
      <c r="P9" s="41"/>
      <c r="Q9" s="42"/>
    </row>
    <row r="10" spans="1:17" ht="17.100000000000001" thickBot="1">
      <c r="A10" s="7">
        <v>9</v>
      </c>
      <c r="B10" s="8">
        <v>2</v>
      </c>
      <c r="C10" s="8" t="s">
        <v>15</v>
      </c>
      <c r="D10" s="9">
        <v>0.80841435185185184</v>
      </c>
      <c r="E10" s="9">
        <v>0.80885416666666665</v>
      </c>
      <c r="F10" s="9">
        <f t="shared" si="0"/>
        <v>4.3981481481480955E-4</v>
      </c>
      <c r="G10" s="8">
        <v>26</v>
      </c>
      <c r="H10" s="8">
        <v>53</v>
      </c>
      <c r="I10" s="8">
        <v>26</v>
      </c>
      <c r="J10" s="8">
        <v>9</v>
      </c>
      <c r="K10" s="8">
        <v>1.5</v>
      </c>
      <c r="L10" s="24" t="s">
        <v>16</v>
      </c>
      <c r="M10" s="8"/>
      <c r="N10" s="8"/>
      <c r="O10" s="43"/>
      <c r="P10" s="43"/>
      <c r="Q10" s="44"/>
    </row>
    <row r="11" spans="1:17">
      <c r="A11" s="14">
        <v>10</v>
      </c>
      <c r="B11" s="15">
        <v>3</v>
      </c>
      <c r="C11" s="15" t="s">
        <v>15</v>
      </c>
      <c r="D11" s="16">
        <v>0.81131944444444448</v>
      </c>
      <c r="E11" s="16">
        <v>0.81211805555555561</v>
      </c>
      <c r="F11" s="16">
        <f t="shared" si="0"/>
        <v>7.9861111111112493E-4</v>
      </c>
      <c r="G11" s="15">
        <v>11</v>
      </c>
      <c r="H11" s="2">
        <v>39</v>
      </c>
      <c r="I11" s="2">
        <v>41</v>
      </c>
      <c r="J11" s="13">
        <v>1</v>
      </c>
      <c r="K11" s="15">
        <v>1.4</v>
      </c>
      <c r="L11" s="23" t="s">
        <v>16</v>
      </c>
      <c r="M11" s="15"/>
      <c r="N11" s="2" t="s">
        <v>18</v>
      </c>
      <c r="O11" s="45" t="s">
        <v>22</v>
      </c>
      <c r="P11" s="39"/>
      <c r="Q11" s="40"/>
    </row>
    <row r="12" spans="1:17">
      <c r="A12" s="18">
        <v>11</v>
      </c>
      <c r="B12" s="19">
        <v>3</v>
      </c>
      <c r="C12" s="19" t="s">
        <v>15</v>
      </c>
      <c r="D12" s="20">
        <v>0.81319444444444444</v>
      </c>
      <c r="E12" s="20">
        <v>0.81335648148148143</v>
      </c>
      <c r="F12" s="20">
        <f t="shared" si="0"/>
        <v>1.6203703703698835E-4</v>
      </c>
      <c r="G12" s="19">
        <v>11</v>
      </c>
      <c r="H12" s="19">
        <v>25</v>
      </c>
      <c r="I12" s="19">
        <v>41</v>
      </c>
      <c r="J12" s="19">
        <v>2</v>
      </c>
      <c r="K12" s="19"/>
      <c r="L12" s="19" t="s">
        <v>23</v>
      </c>
      <c r="M12" s="19" t="s">
        <v>24</v>
      </c>
      <c r="N12" s="19"/>
      <c r="O12" s="46"/>
      <c r="P12" s="41"/>
      <c r="Q12" s="42"/>
    </row>
    <row r="13" spans="1:17">
      <c r="A13" s="6">
        <v>11</v>
      </c>
      <c r="B13" s="2">
        <v>3</v>
      </c>
      <c r="C13" s="2" t="s">
        <v>15</v>
      </c>
      <c r="D13" s="3">
        <v>0.81434027777777773</v>
      </c>
      <c r="E13" s="3">
        <v>0.81559027777777782</v>
      </c>
      <c r="F13" s="3">
        <f t="shared" si="0"/>
        <v>1.2500000000000844E-3</v>
      </c>
      <c r="G13" s="2">
        <v>11</v>
      </c>
      <c r="H13" s="2">
        <v>25</v>
      </c>
      <c r="I13" s="2">
        <v>41</v>
      </c>
      <c r="J13" s="2">
        <v>2</v>
      </c>
      <c r="K13" s="2">
        <v>1.3</v>
      </c>
      <c r="L13" s="17" t="s">
        <v>16</v>
      </c>
      <c r="M13" s="2"/>
      <c r="N13" s="2"/>
      <c r="O13" s="46"/>
      <c r="P13" s="41"/>
      <c r="Q13" s="42"/>
    </row>
    <row r="14" spans="1:17">
      <c r="A14" s="6">
        <v>12</v>
      </c>
      <c r="B14" s="2">
        <v>3</v>
      </c>
      <c r="C14" s="2" t="s">
        <v>15</v>
      </c>
      <c r="D14" s="3">
        <v>0.81679398148148152</v>
      </c>
      <c r="E14" s="3">
        <v>0.81738425925925928</v>
      </c>
      <c r="F14" s="3">
        <f t="shared" si="0"/>
        <v>5.9027777777775903E-4</v>
      </c>
      <c r="G14" s="2">
        <v>11</v>
      </c>
      <c r="H14" s="2">
        <v>53</v>
      </c>
      <c r="I14" s="2">
        <v>41</v>
      </c>
      <c r="J14" s="2">
        <v>3</v>
      </c>
      <c r="K14" s="2">
        <v>1.45</v>
      </c>
      <c r="L14" s="17" t="s">
        <v>16</v>
      </c>
      <c r="M14" s="2"/>
      <c r="N14" s="2"/>
      <c r="O14" s="46"/>
      <c r="P14" s="41"/>
      <c r="Q14" s="42"/>
    </row>
    <row r="15" spans="1:17">
      <c r="A15" s="6">
        <v>13</v>
      </c>
      <c r="B15" s="2">
        <v>3</v>
      </c>
      <c r="C15" s="2" t="s">
        <v>15</v>
      </c>
      <c r="D15" s="3">
        <v>0.81862268518518522</v>
      </c>
      <c r="E15" s="3">
        <v>0.81943287037037038</v>
      </c>
      <c r="F15" s="3">
        <f t="shared" si="0"/>
        <v>8.101851851851638E-4</v>
      </c>
      <c r="G15" s="2">
        <v>11</v>
      </c>
      <c r="H15" s="2">
        <v>39</v>
      </c>
      <c r="I15" s="2">
        <v>26</v>
      </c>
      <c r="J15" s="2">
        <v>4</v>
      </c>
      <c r="K15" s="2">
        <v>0.9</v>
      </c>
      <c r="L15" s="17" t="s">
        <v>16</v>
      </c>
      <c r="M15" s="2"/>
      <c r="N15" s="2"/>
      <c r="O15" s="46"/>
      <c r="P15" s="41"/>
      <c r="Q15" s="42"/>
    </row>
    <row r="16" spans="1:17">
      <c r="A16" s="6">
        <v>14</v>
      </c>
      <c r="B16" s="2">
        <v>3</v>
      </c>
      <c r="C16" s="2" t="s">
        <v>15</v>
      </c>
      <c r="D16" s="3">
        <v>0.82106481481481486</v>
      </c>
      <c r="E16" s="3">
        <v>0.82186342592592587</v>
      </c>
      <c r="F16" s="3">
        <f t="shared" si="0"/>
        <v>7.986111111110139E-4</v>
      </c>
      <c r="G16" s="2">
        <v>11</v>
      </c>
      <c r="H16" s="2">
        <v>39</v>
      </c>
      <c r="I16" s="2">
        <v>56</v>
      </c>
      <c r="J16" s="2">
        <v>5</v>
      </c>
      <c r="K16" s="2">
        <v>1.9</v>
      </c>
      <c r="L16" s="17" t="s">
        <v>16</v>
      </c>
      <c r="M16" s="2"/>
      <c r="N16" s="2"/>
      <c r="O16" s="46"/>
      <c r="P16" s="41"/>
      <c r="Q16" s="42"/>
    </row>
    <row r="17" spans="1:17">
      <c r="A17" s="6">
        <v>15</v>
      </c>
      <c r="B17" s="2">
        <v>3</v>
      </c>
      <c r="C17" s="2" t="s">
        <v>15</v>
      </c>
      <c r="D17" s="3">
        <v>0.82319444444444445</v>
      </c>
      <c r="E17" s="3">
        <v>0.82442129629629635</v>
      </c>
      <c r="F17" s="3">
        <f t="shared" si="0"/>
        <v>1.2268518518518956E-3</v>
      </c>
      <c r="G17" s="2">
        <v>11</v>
      </c>
      <c r="H17" s="2">
        <v>25</v>
      </c>
      <c r="I17" s="2">
        <v>26</v>
      </c>
      <c r="J17" s="2">
        <v>6</v>
      </c>
      <c r="K17" s="2">
        <v>1</v>
      </c>
      <c r="L17" s="17" t="s">
        <v>16</v>
      </c>
      <c r="M17" s="2"/>
      <c r="N17" s="2"/>
      <c r="O17" s="46"/>
      <c r="P17" s="41"/>
      <c r="Q17" s="42"/>
    </row>
    <row r="18" spans="1:17">
      <c r="A18" s="6">
        <v>16</v>
      </c>
      <c r="B18" s="2">
        <v>3</v>
      </c>
      <c r="C18" s="2" t="s">
        <v>15</v>
      </c>
      <c r="D18" s="3">
        <v>0.82564814814814813</v>
      </c>
      <c r="E18" s="3">
        <v>0.82625000000000004</v>
      </c>
      <c r="F18" s="3">
        <f t="shared" si="0"/>
        <v>6.0185185185190893E-4</v>
      </c>
      <c r="G18" s="2">
        <v>11</v>
      </c>
      <c r="H18" s="2">
        <v>53</v>
      </c>
      <c r="I18" s="2">
        <v>56</v>
      </c>
      <c r="J18" s="2">
        <v>7</v>
      </c>
      <c r="K18" s="2">
        <v>1.95</v>
      </c>
      <c r="L18" s="17" t="s">
        <v>16</v>
      </c>
      <c r="M18" s="2"/>
      <c r="N18" s="2"/>
      <c r="O18" s="46"/>
      <c r="P18" s="41"/>
      <c r="Q18" s="42"/>
    </row>
    <row r="19" spans="1:17">
      <c r="A19" s="6">
        <v>17</v>
      </c>
      <c r="B19" s="2">
        <v>3</v>
      </c>
      <c r="C19" s="2" t="s">
        <v>15</v>
      </c>
      <c r="D19" s="3">
        <v>0.82811342592592596</v>
      </c>
      <c r="E19" s="3">
        <v>0.8293518518518519</v>
      </c>
      <c r="F19" s="3">
        <f t="shared" si="0"/>
        <v>1.2384259259259345E-3</v>
      </c>
      <c r="G19" s="2">
        <v>11</v>
      </c>
      <c r="H19" s="2">
        <v>25</v>
      </c>
      <c r="I19" s="2">
        <v>56</v>
      </c>
      <c r="J19" s="2">
        <v>8</v>
      </c>
      <c r="K19" s="2">
        <v>1.8</v>
      </c>
      <c r="L19" s="17" t="s">
        <v>16</v>
      </c>
      <c r="M19" s="2"/>
      <c r="N19" s="2"/>
      <c r="O19" s="46"/>
      <c r="P19" s="41"/>
      <c r="Q19" s="42"/>
    </row>
    <row r="20" spans="1:17" ht="17.100000000000001" thickBot="1">
      <c r="A20" s="10">
        <v>18</v>
      </c>
      <c r="B20" s="11">
        <v>3</v>
      </c>
      <c r="C20" s="11" t="s">
        <v>15</v>
      </c>
      <c r="D20" s="12">
        <v>0.8314583333333333</v>
      </c>
      <c r="E20" s="12">
        <v>0.83204861111111106</v>
      </c>
      <c r="F20" s="12">
        <f t="shared" si="0"/>
        <v>5.9027777777775903E-4</v>
      </c>
      <c r="G20" s="11">
        <v>11</v>
      </c>
      <c r="H20" s="11">
        <v>53</v>
      </c>
      <c r="I20" s="11">
        <v>26</v>
      </c>
      <c r="J20" s="11">
        <v>9</v>
      </c>
      <c r="K20" s="11">
        <v>1</v>
      </c>
      <c r="L20" s="21" t="s">
        <v>16</v>
      </c>
      <c r="M20" s="11"/>
      <c r="N20" s="11"/>
      <c r="O20" s="46"/>
      <c r="P20" s="41"/>
      <c r="Q20" s="42"/>
    </row>
    <row r="21" spans="1:17">
      <c r="A21" s="14">
        <v>19</v>
      </c>
      <c r="B21" s="15">
        <v>4</v>
      </c>
      <c r="C21" s="15" t="s">
        <v>15</v>
      </c>
      <c r="D21" s="16">
        <v>0.83783564814814815</v>
      </c>
      <c r="E21" s="16">
        <v>0.83862268518518523</v>
      </c>
      <c r="F21" s="16">
        <f t="shared" si="0"/>
        <v>7.8703703703708605E-4</v>
      </c>
      <c r="G21" s="15">
        <v>60.5</v>
      </c>
      <c r="H21" s="15">
        <v>39</v>
      </c>
      <c r="I21" s="15">
        <v>41</v>
      </c>
      <c r="J21" s="15">
        <v>1</v>
      </c>
      <c r="K21" s="15">
        <v>3.8</v>
      </c>
      <c r="L21" s="28" t="s">
        <v>16</v>
      </c>
      <c r="M21" s="15"/>
      <c r="N21" s="15" t="s">
        <v>18</v>
      </c>
      <c r="O21" s="47" t="s">
        <v>25</v>
      </c>
      <c r="P21" s="47"/>
      <c r="Q21" s="48"/>
    </row>
    <row r="22" spans="1:17">
      <c r="A22" s="6">
        <v>20</v>
      </c>
      <c r="B22" s="2">
        <v>4</v>
      </c>
      <c r="C22" s="2" t="s">
        <v>15</v>
      </c>
      <c r="D22" s="3">
        <v>0.84039351851851851</v>
      </c>
      <c r="E22" s="3">
        <v>0.84159722222222222</v>
      </c>
      <c r="F22" s="3">
        <f t="shared" si="0"/>
        <v>1.2037037037037068E-3</v>
      </c>
      <c r="G22" s="2">
        <v>60.5</v>
      </c>
      <c r="H22" s="2">
        <v>25</v>
      </c>
      <c r="I22" s="2">
        <v>41</v>
      </c>
      <c r="J22" s="2">
        <v>2</v>
      </c>
      <c r="K22" s="2">
        <v>2.75</v>
      </c>
      <c r="L22" s="17" t="s">
        <v>16</v>
      </c>
      <c r="M22" s="2" t="s">
        <v>26</v>
      </c>
      <c r="N22" s="2"/>
      <c r="O22" s="49"/>
      <c r="P22" s="49"/>
      <c r="Q22" s="50"/>
    </row>
    <row r="23" spans="1:17">
      <c r="A23" s="6">
        <v>21</v>
      </c>
      <c r="B23" s="2">
        <v>4</v>
      </c>
      <c r="C23" s="2" t="s">
        <v>15</v>
      </c>
      <c r="D23" s="3">
        <v>0.84315972222222224</v>
      </c>
      <c r="E23" s="3">
        <v>0.84372685185185181</v>
      </c>
      <c r="F23" s="3">
        <f t="shared" si="0"/>
        <v>5.6712962962957025E-4</v>
      </c>
      <c r="G23" s="2">
        <v>60.5</v>
      </c>
      <c r="H23" s="2">
        <v>53</v>
      </c>
      <c r="I23" s="2">
        <v>41</v>
      </c>
      <c r="J23" s="2">
        <v>3</v>
      </c>
      <c r="K23" s="2">
        <v>4.5</v>
      </c>
      <c r="L23" s="17" t="s">
        <v>16</v>
      </c>
      <c r="M23" s="2" t="s">
        <v>27</v>
      </c>
      <c r="N23" s="2"/>
      <c r="O23" s="49"/>
      <c r="P23" s="49"/>
      <c r="Q23" s="50"/>
    </row>
    <row r="24" spans="1:17">
      <c r="A24" s="6">
        <v>22</v>
      </c>
      <c r="B24" s="2">
        <v>4</v>
      </c>
      <c r="C24" s="2" t="s">
        <v>15</v>
      </c>
      <c r="D24" s="3">
        <v>0.84358796296296301</v>
      </c>
      <c r="E24" s="3">
        <v>0.84432870370370372</v>
      </c>
      <c r="F24" s="3">
        <f t="shared" si="0"/>
        <v>7.407407407407085E-4</v>
      </c>
      <c r="G24" s="2">
        <v>60.5</v>
      </c>
      <c r="H24" s="2">
        <v>39</v>
      </c>
      <c r="I24" s="2">
        <v>26</v>
      </c>
      <c r="J24" s="2">
        <v>4</v>
      </c>
      <c r="K24" s="25" t="s">
        <v>28</v>
      </c>
      <c r="L24" s="17" t="s">
        <v>16</v>
      </c>
      <c r="M24" s="2"/>
      <c r="N24" s="2"/>
      <c r="O24" s="49"/>
      <c r="P24" s="49"/>
      <c r="Q24" s="50"/>
    </row>
    <row r="25" spans="1:17">
      <c r="A25" s="6">
        <v>23</v>
      </c>
      <c r="B25" s="2">
        <v>4</v>
      </c>
      <c r="C25" s="2" t="s">
        <v>15</v>
      </c>
      <c r="D25" s="3">
        <v>0.84530092592592587</v>
      </c>
      <c r="E25" s="3">
        <v>0.846099537037037</v>
      </c>
      <c r="F25" s="3">
        <f t="shared" si="0"/>
        <v>7.9861111111112493E-4</v>
      </c>
      <c r="G25" s="2">
        <v>60.5</v>
      </c>
      <c r="H25" s="2">
        <v>39</v>
      </c>
      <c r="I25" s="2">
        <v>56</v>
      </c>
      <c r="J25" s="2">
        <v>5</v>
      </c>
      <c r="K25" s="25" t="s">
        <v>29</v>
      </c>
      <c r="L25" s="17" t="s">
        <v>16</v>
      </c>
      <c r="M25" s="2"/>
      <c r="N25" s="2"/>
      <c r="O25" s="49"/>
      <c r="P25" s="49"/>
      <c r="Q25" s="50"/>
    </row>
    <row r="26" spans="1:17">
      <c r="A26" s="6">
        <v>24</v>
      </c>
      <c r="B26" s="2">
        <v>4</v>
      </c>
      <c r="C26" s="2" t="s">
        <v>15</v>
      </c>
      <c r="D26" s="3">
        <v>0.84729166666666667</v>
      </c>
      <c r="E26" s="3">
        <v>0.84854166666666664</v>
      </c>
      <c r="F26" s="3">
        <f t="shared" si="0"/>
        <v>1.2499999999999734E-3</v>
      </c>
      <c r="G26" s="2">
        <v>60.5</v>
      </c>
      <c r="H26" s="2">
        <v>25</v>
      </c>
      <c r="I26" s="2">
        <v>26</v>
      </c>
      <c r="J26" s="2">
        <v>6</v>
      </c>
      <c r="K26" s="25" t="s">
        <v>30</v>
      </c>
      <c r="L26" s="17" t="s">
        <v>16</v>
      </c>
      <c r="M26" s="2"/>
      <c r="N26" s="2"/>
      <c r="O26" s="49"/>
      <c r="P26" s="49"/>
      <c r="Q26" s="50"/>
    </row>
    <row r="27" spans="1:17">
      <c r="A27" s="6">
        <v>25</v>
      </c>
      <c r="B27" s="2">
        <v>4</v>
      </c>
      <c r="C27" s="2" t="s">
        <v>15</v>
      </c>
      <c r="D27" s="3">
        <v>0.84990740740740744</v>
      </c>
      <c r="E27" s="3">
        <v>0.85052083333333328</v>
      </c>
      <c r="F27" s="3">
        <f t="shared" si="0"/>
        <v>6.1342592592583678E-4</v>
      </c>
      <c r="G27" s="2">
        <v>60.5</v>
      </c>
      <c r="H27" s="2">
        <v>53</v>
      </c>
      <c r="I27" s="2">
        <v>56</v>
      </c>
      <c r="J27" s="2">
        <v>7</v>
      </c>
      <c r="K27" s="25" t="s">
        <v>31</v>
      </c>
      <c r="L27" s="17" t="s">
        <v>16</v>
      </c>
      <c r="M27" s="2"/>
      <c r="N27" s="2"/>
      <c r="O27" s="49"/>
      <c r="P27" s="49"/>
      <c r="Q27" s="50"/>
    </row>
    <row r="28" spans="1:17">
      <c r="A28" s="6">
        <v>26</v>
      </c>
      <c r="B28" s="2">
        <v>4</v>
      </c>
      <c r="C28" s="2" t="s">
        <v>15</v>
      </c>
      <c r="D28" s="3">
        <v>0.85168981481481476</v>
      </c>
      <c r="E28" s="3">
        <v>0.85290509259259262</v>
      </c>
      <c r="F28" s="3">
        <f t="shared" si="0"/>
        <v>1.2152777777778567E-3</v>
      </c>
      <c r="G28" s="22">
        <v>60.5</v>
      </c>
      <c r="H28" s="2">
        <v>25</v>
      </c>
      <c r="I28" s="2">
        <v>56</v>
      </c>
      <c r="J28" s="2">
        <v>8</v>
      </c>
      <c r="K28" s="2">
        <v>3.5</v>
      </c>
      <c r="L28" s="17" t="s">
        <v>16</v>
      </c>
      <c r="M28" s="2" t="s">
        <v>26</v>
      </c>
      <c r="N28" s="2"/>
      <c r="O28" s="49"/>
      <c r="P28" s="49"/>
      <c r="Q28" s="50"/>
    </row>
    <row r="29" spans="1:17" ht="17.100000000000001" thickBot="1">
      <c r="A29" s="7">
        <v>27</v>
      </c>
      <c r="B29" s="8">
        <v>4</v>
      </c>
      <c r="C29" s="8" t="s">
        <v>15</v>
      </c>
      <c r="D29" s="9">
        <v>0.85414351851851855</v>
      </c>
      <c r="E29" s="9">
        <v>0.85472222222222227</v>
      </c>
      <c r="F29" s="9">
        <f t="shared" si="0"/>
        <v>5.7870370370372015E-4</v>
      </c>
      <c r="G29" s="8">
        <v>60.5</v>
      </c>
      <c r="H29" s="8">
        <v>53</v>
      </c>
      <c r="I29" s="8">
        <v>26</v>
      </c>
      <c r="J29" s="8">
        <v>9</v>
      </c>
      <c r="K29" s="8">
        <v>2.9</v>
      </c>
      <c r="L29" s="26" t="s">
        <v>32</v>
      </c>
      <c r="M29" s="26" t="s">
        <v>33</v>
      </c>
      <c r="N29" s="8"/>
      <c r="O29" s="51"/>
      <c r="P29" s="51"/>
      <c r="Q29" s="52"/>
    </row>
    <row r="30" spans="1:17">
      <c r="A30" s="14">
        <v>28</v>
      </c>
      <c r="B30" s="15">
        <v>3</v>
      </c>
      <c r="C30" s="15" t="s">
        <v>15</v>
      </c>
      <c r="D30" s="16">
        <v>0.86087962962962961</v>
      </c>
      <c r="E30" s="16">
        <v>0.86165509259259254</v>
      </c>
      <c r="F30" s="16">
        <f t="shared" si="0"/>
        <v>7.7546296296293615E-4</v>
      </c>
      <c r="G30" s="15">
        <v>11</v>
      </c>
      <c r="H30" s="15">
        <v>39</v>
      </c>
      <c r="I30" s="15">
        <v>26</v>
      </c>
      <c r="J30" s="15">
        <v>4</v>
      </c>
      <c r="K30" s="15">
        <v>1</v>
      </c>
      <c r="L30" s="28" t="s">
        <v>16</v>
      </c>
      <c r="M30" s="15"/>
      <c r="N30" s="29"/>
      <c r="O30" s="53"/>
      <c r="P30" s="54"/>
      <c r="Q30" s="32">
        <f>K30-K15</f>
        <v>9.9999999999999978E-2</v>
      </c>
    </row>
    <row r="31" spans="1:17">
      <c r="A31" s="6">
        <v>29</v>
      </c>
      <c r="B31" s="2">
        <v>3</v>
      </c>
      <c r="C31" s="2" t="s">
        <v>15</v>
      </c>
      <c r="D31" s="3">
        <v>0.86311342592592588</v>
      </c>
      <c r="E31" s="3">
        <v>0.86368055555555556</v>
      </c>
      <c r="F31" s="3">
        <f t="shared" si="0"/>
        <v>5.6712962962968128E-4</v>
      </c>
      <c r="G31" s="2">
        <v>11</v>
      </c>
      <c r="H31" s="2">
        <v>53</v>
      </c>
      <c r="I31" s="2">
        <v>56</v>
      </c>
      <c r="J31" s="2">
        <v>7</v>
      </c>
      <c r="K31" s="2">
        <v>2</v>
      </c>
      <c r="L31" s="17" t="s">
        <v>16</v>
      </c>
      <c r="M31" s="2"/>
      <c r="N31" s="30"/>
      <c r="O31" s="55"/>
      <c r="P31" s="56"/>
      <c r="Q31" s="33">
        <f>K31-K18</f>
        <v>5.0000000000000044E-2</v>
      </c>
    </row>
    <row r="32" spans="1:17">
      <c r="A32" s="6">
        <v>30</v>
      </c>
      <c r="B32" s="2">
        <v>3</v>
      </c>
      <c r="C32" s="2" t="s">
        <v>15</v>
      </c>
      <c r="D32" s="3">
        <v>0.86471064814814813</v>
      </c>
      <c r="E32" s="3">
        <v>0.86591435185185184</v>
      </c>
      <c r="F32" s="3">
        <f t="shared" si="0"/>
        <v>1.2037037037037068E-3</v>
      </c>
      <c r="G32" s="2">
        <v>11</v>
      </c>
      <c r="H32" s="2">
        <v>25</v>
      </c>
      <c r="I32" s="2">
        <v>41</v>
      </c>
      <c r="J32" s="2">
        <v>2</v>
      </c>
      <c r="K32" s="2">
        <v>1.45</v>
      </c>
      <c r="L32" s="17" t="s">
        <v>16</v>
      </c>
      <c r="M32" s="2"/>
      <c r="N32" s="30"/>
      <c r="O32" s="55"/>
      <c r="P32" s="56"/>
      <c r="Q32" s="33">
        <f>K32-K13</f>
        <v>0.14999999999999991</v>
      </c>
    </row>
    <row r="33" spans="1:17">
      <c r="A33" s="6">
        <v>31</v>
      </c>
      <c r="B33" s="2">
        <v>4</v>
      </c>
      <c r="C33" s="2" t="s">
        <v>15</v>
      </c>
      <c r="D33" s="3">
        <v>0.8674884259259259</v>
      </c>
      <c r="E33" s="3">
        <v>0.86869212962962961</v>
      </c>
      <c r="F33" s="3">
        <f t="shared" si="0"/>
        <v>1.2037037037037068E-3</v>
      </c>
      <c r="G33" s="2">
        <v>60.5</v>
      </c>
      <c r="H33" s="2">
        <v>25</v>
      </c>
      <c r="I33" s="2">
        <v>41</v>
      </c>
      <c r="J33" s="2">
        <v>2</v>
      </c>
      <c r="K33" s="2">
        <v>2.9</v>
      </c>
      <c r="L33" s="17" t="s">
        <v>16</v>
      </c>
      <c r="M33" s="2" t="s">
        <v>26</v>
      </c>
      <c r="N33" s="30"/>
      <c r="O33" s="55"/>
      <c r="P33" s="56"/>
      <c r="Q33" s="33">
        <f>K33-K22</f>
        <v>0.14999999999999991</v>
      </c>
    </row>
    <row r="34" spans="1:17">
      <c r="A34" s="6">
        <v>32</v>
      </c>
      <c r="B34" s="2">
        <v>4</v>
      </c>
      <c r="C34" s="2" t="s">
        <v>15</v>
      </c>
      <c r="D34" s="3">
        <v>0.86972222222222217</v>
      </c>
      <c r="E34" s="3">
        <v>0.87031250000000004</v>
      </c>
      <c r="F34" s="3">
        <f t="shared" si="0"/>
        <v>5.9027777777787005E-4</v>
      </c>
      <c r="G34" s="2">
        <v>60.5</v>
      </c>
      <c r="H34" s="2">
        <v>53</v>
      </c>
      <c r="I34" s="2">
        <v>56</v>
      </c>
      <c r="J34" s="2">
        <v>7</v>
      </c>
      <c r="K34" s="25">
        <v>4.5999999999999996</v>
      </c>
      <c r="L34" s="27" t="s">
        <v>32</v>
      </c>
      <c r="M34" s="27" t="s">
        <v>34</v>
      </c>
      <c r="N34" s="30"/>
      <c r="O34" s="55"/>
      <c r="P34" s="56"/>
      <c r="Q34" s="33">
        <v>0.1</v>
      </c>
    </row>
    <row r="35" spans="1:17">
      <c r="A35" s="6">
        <v>33</v>
      </c>
      <c r="B35" s="2">
        <v>4</v>
      </c>
      <c r="C35" s="2" t="s">
        <v>15</v>
      </c>
      <c r="D35" s="3">
        <v>0.87143518518518515</v>
      </c>
      <c r="E35" s="3">
        <v>0.87201388888888887</v>
      </c>
      <c r="F35" s="3">
        <f t="shared" si="0"/>
        <v>5.7870370370372015E-4</v>
      </c>
      <c r="G35" s="2">
        <v>60.5</v>
      </c>
      <c r="H35" s="2">
        <v>53</v>
      </c>
      <c r="I35" s="2">
        <v>41</v>
      </c>
      <c r="J35" s="2">
        <v>3</v>
      </c>
      <c r="K35" s="2">
        <v>4.5</v>
      </c>
      <c r="L35" s="27" t="s">
        <v>32</v>
      </c>
      <c r="M35" s="27" t="s">
        <v>34</v>
      </c>
      <c r="N35" s="30"/>
      <c r="O35" s="55"/>
      <c r="P35" s="56"/>
      <c r="Q35" s="33">
        <f>K35-K23</f>
        <v>0</v>
      </c>
    </row>
    <row r="36" spans="1:17">
      <c r="A36" s="6">
        <v>34</v>
      </c>
      <c r="B36" s="2">
        <v>5</v>
      </c>
      <c r="C36" s="2" t="s">
        <v>15</v>
      </c>
      <c r="D36" s="3">
        <v>0.87458333333333338</v>
      </c>
      <c r="E36" s="3">
        <v>0.87603009259259257</v>
      </c>
      <c r="F36" s="3">
        <f t="shared" si="0"/>
        <v>1.4467592592591894E-3</v>
      </c>
      <c r="G36" s="2">
        <v>27.7</v>
      </c>
      <c r="H36" s="2">
        <v>25</v>
      </c>
      <c r="I36" s="2">
        <v>26</v>
      </c>
      <c r="J36" s="2">
        <v>6</v>
      </c>
      <c r="K36" s="2">
        <v>1.35</v>
      </c>
      <c r="L36" s="17" t="s">
        <v>16</v>
      </c>
      <c r="M36" s="13"/>
      <c r="N36" s="30"/>
      <c r="O36" s="55"/>
      <c r="P36" s="56"/>
      <c r="Q36" s="33">
        <f>K36-K7</f>
        <v>5.0000000000000044E-2</v>
      </c>
    </row>
    <row r="37" spans="1:17">
      <c r="A37" s="6">
        <v>35</v>
      </c>
      <c r="B37" s="2">
        <v>5</v>
      </c>
      <c r="C37" s="2" t="s">
        <v>15</v>
      </c>
      <c r="D37" s="3">
        <v>0.87723379629629628</v>
      </c>
      <c r="E37" s="3">
        <v>0.87791666666666668</v>
      </c>
      <c r="F37" s="3">
        <f t="shared" si="0"/>
        <v>6.828703703704031E-4</v>
      </c>
      <c r="G37" s="2">
        <v>27.7</v>
      </c>
      <c r="H37" s="2">
        <v>53</v>
      </c>
      <c r="I37" s="2">
        <v>56</v>
      </c>
      <c r="J37" s="2">
        <v>7</v>
      </c>
      <c r="K37" s="2">
        <v>2.86</v>
      </c>
      <c r="L37" s="17" t="s">
        <v>16</v>
      </c>
      <c r="M37" s="2"/>
      <c r="N37" s="30"/>
      <c r="O37" s="55"/>
      <c r="P37" s="56"/>
      <c r="Q37" s="33">
        <f>K37-K8</f>
        <v>0.1599999999999997</v>
      </c>
    </row>
    <row r="38" spans="1:17" ht="17.100000000000001" thickBot="1">
      <c r="A38" s="7">
        <v>36</v>
      </c>
      <c r="B38" s="8">
        <v>5</v>
      </c>
      <c r="C38" s="8" t="s">
        <v>15</v>
      </c>
      <c r="D38" s="9">
        <v>0.87922453703703707</v>
      </c>
      <c r="E38" s="9">
        <v>0.88016203703703699</v>
      </c>
      <c r="F38" s="9">
        <f t="shared" si="0"/>
        <v>9.374999999999245E-4</v>
      </c>
      <c r="G38" s="8">
        <v>27.7</v>
      </c>
      <c r="H38" s="8">
        <v>39</v>
      </c>
      <c r="I38" s="8">
        <v>41</v>
      </c>
      <c r="J38" s="8">
        <v>1</v>
      </c>
      <c r="K38" s="8">
        <v>2.13</v>
      </c>
      <c r="L38" s="24" t="s">
        <v>16</v>
      </c>
      <c r="M38" s="8"/>
      <c r="N38" s="31"/>
      <c r="O38" s="57"/>
      <c r="P38" s="58"/>
      <c r="Q38" s="34">
        <f>K38-K2</f>
        <v>2.9999999999999805E-2</v>
      </c>
    </row>
    <row r="39" spans="1:17">
      <c r="A39" s="59">
        <v>37</v>
      </c>
      <c r="B39" s="61">
        <v>0</v>
      </c>
      <c r="C39" s="63" t="s">
        <v>35</v>
      </c>
      <c r="D39" s="65">
        <v>0.88396990740740744</v>
      </c>
      <c r="E39" s="65">
        <v>0.88501157407407405</v>
      </c>
      <c r="F39" s="65">
        <f t="shared" si="0"/>
        <v>1.0416666666666075E-3</v>
      </c>
      <c r="G39" s="61">
        <v>0</v>
      </c>
      <c r="H39" s="37">
        <v>25</v>
      </c>
      <c r="I39" s="37">
        <v>26</v>
      </c>
      <c r="J39" s="68">
        <v>0</v>
      </c>
      <c r="K39" s="37"/>
      <c r="L39" s="82" t="s">
        <v>16</v>
      </c>
      <c r="M39" s="70" t="s">
        <v>36</v>
      </c>
      <c r="N39" s="15"/>
      <c r="O39" s="45" t="s">
        <v>37</v>
      </c>
      <c r="P39" s="39"/>
      <c r="Q39" s="40"/>
    </row>
    <row r="40" spans="1:17" ht="17.100000000000001" thickBot="1">
      <c r="A40" s="60"/>
      <c r="B40" s="62"/>
      <c r="C40" s="64"/>
      <c r="D40" s="66"/>
      <c r="E40" s="66"/>
      <c r="F40" s="66"/>
      <c r="G40" s="62"/>
      <c r="H40" s="36">
        <v>39</v>
      </c>
      <c r="I40" s="36">
        <v>41</v>
      </c>
      <c r="J40" s="69"/>
      <c r="K40" s="36"/>
      <c r="L40" s="83"/>
      <c r="M40" s="71"/>
      <c r="N40" s="2"/>
      <c r="O40" s="46"/>
      <c r="P40" s="41"/>
      <c r="Q40" s="42"/>
    </row>
    <row r="41" spans="1:17" ht="15.95" customHeight="1">
      <c r="A41" s="72">
        <v>38</v>
      </c>
      <c r="B41" s="74">
        <v>5</v>
      </c>
      <c r="C41" s="76" t="s">
        <v>15</v>
      </c>
      <c r="D41" s="78">
        <v>0.88673611111111106</v>
      </c>
      <c r="E41" s="78">
        <v>0.88800925925925922</v>
      </c>
      <c r="F41" s="78">
        <f>E41-D41</f>
        <v>1.2731481481481621E-3</v>
      </c>
      <c r="G41" s="80">
        <v>27.7</v>
      </c>
      <c r="H41" s="35">
        <v>25</v>
      </c>
      <c r="I41" s="35">
        <v>26</v>
      </c>
      <c r="J41" s="86">
        <v>0</v>
      </c>
      <c r="K41" s="2">
        <v>0.8</v>
      </c>
      <c r="L41" s="84" t="s">
        <v>16</v>
      </c>
      <c r="M41" s="70" t="s">
        <v>38</v>
      </c>
      <c r="N41" s="2"/>
      <c r="O41" s="46"/>
      <c r="P41" s="41"/>
      <c r="Q41" s="42"/>
    </row>
    <row r="42" spans="1:17" ht="17.100000000000001" thickBot="1">
      <c r="A42" s="73"/>
      <c r="B42" s="75"/>
      <c r="C42" s="77"/>
      <c r="D42" s="79"/>
      <c r="E42" s="79"/>
      <c r="F42" s="79"/>
      <c r="G42" s="81"/>
      <c r="H42" s="38">
        <v>39</v>
      </c>
      <c r="I42" s="38">
        <v>41</v>
      </c>
      <c r="J42" s="87"/>
      <c r="K42" s="8">
        <v>2.25</v>
      </c>
      <c r="L42" s="85"/>
      <c r="M42" s="88"/>
      <c r="N42" s="8"/>
      <c r="O42" s="67"/>
      <c r="P42" s="43"/>
      <c r="Q42" s="44"/>
    </row>
    <row r="43" spans="1:17">
      <c r="A43">
        <v>41</v>
      </c>
      <c r="D43" s="1"/>
      <c r="E43" s="1"/>
      <c r="F43" s="1"/>
    </row>
    <row r="44" spans="1:17">
      <c r="A44">
        <v>42</v>
      </c>
      <c r="D44" s="1"/>
      <c r="E44" s="1"/>
      <c r="F44" s="1"/>
    </row>
    <row r="45" spans="1:17">
      <c r="A45">
        <v>43</v>
      </c>
      <c r="D45" s="1"/>
      <c r="E45" s="1"/>
      <c r="F45" s="1"/>
    </row>
    <row r="46" spans="1:17">
      <c r="A46">
        <v>44</v>
      </c>
      <c r="D46" s="1"/>
      <c r="E46" s="1"/>
      <c r="F46" s="1"/>
    </row>
    <row r="47" spans="1:17">
      <c r="A47">
        <v>45</v>
      </c>
      <c r="D47" s="1"/>
      <c r="E47" s="1"/>
      <c r="F47" s="1"/>
    </row>
    <row r="48" spans="1:17">
      <c r="A48">
        <v>46</v>
      </c>
      <c r="D48" s="1"/>
      <c r="E48" s="1"/>
      <c r="F48" s="1"/>
    </row>
    <row r="49" spans="1:6">
      <c r="A49">
        <v>47</v>
      </c>
      <c r="D49" s="1"/>
      <c r="E49" s="1"/>
      <c r="F49" s="1"/>
    </row>
    <row r="50" spans="1:6">
      <c r="A50">
        <v>48</v>
      </c>
      <c r="D50" s="1"/>
      <c r="E50" s="1"/>
      <c r="F50" s="1"/>
    </row>
    <row r="51" spans="1:6">
      <c r="A51">
        <v>49</v>
      </c>
      <c r="D51" s="1"/>
      <c r="E51" s="1"/>
      <c r="F51" s="1"/>
    </row>
    <row r="52" spans="1:6">
      <c r="A52">
        <v>50</v>
      </c>
      <c r="D52" s="1"/>
      <c r="E52" s="1"/>
      <c r="F52" s="1"/>
    </row>
    <row r="53" spans="1:6">
      <c r="A53">
        <v>51</v>
      </c>
      <c r="D53" s="1"/>
      <c r="E53" s="1"/>
      <c r="F53" s="1"/>
    </row>
    <row r="54" spans="1:6">
      <c r="A54">
        <v>52</v>
      </c>
      <c r="D54" s="1"/>
      <c r="E54" s="1"/>
      <c r="F54" s="1"/>
    </row>
    <row r="55" spans="1:6">
      <c r="A55">
        <v>53</v>
      </c>
      <c r="D55" s="1"/>
      <c r="E55" s="1"/>
      <c r="F55" s="1"/>
    </row>
    <row r="56" spans="1:6">
      <c r="A56">
        <v>54</v>
      </c>
      <c r="D56" s="1"/>
      <c r="E56" s="1"/>
      <c r="F56" s="1"/>
    </row>
    <row r="57" spans="1:6">
      <c r="A57">
        <v>55</v>
      </c>
      <c r="D57" s="1"/>
      <c r="E57" s="1"/>
      <c r="F57" s="1"/>
    </row>
    <row r="58" spans="1:6">
      <c r="A58">
        <v>56</v>
      </c>
      <c r="D58" s="1"/>
      <c r="E58" s="1"/>
      <c r="F58" s="1"/>
    </row>
    <row r="59" spans="1:6">
      <c r="A59">
        <v>57</v>
      </c>
      <c r="D59" s="1"/>
      <c r="E59" s="1"/>
      <c r="F59" s="1"/>
    </row>
    <row r="60" spans="1:6">
      <c r="A60">
        <v>58</v>
      </c>
      <c r="D60" s="1"/>
      <c r="E60" s="1"/>
      <c r="F60" s="1"/>
    </row>
    <row r="61" spans="1:6">
      <c r="A61">
        <v>59</v>
      </c>
      <c r="D61" s="1"/>
      <c r="E61" s="1"/>
      <c r="F61" s="1"/>
    </row>
    <row r="62" spans="1:6">
      <c r="A62">
        <v>60</v>
      </c>
      <c r="D62" s="1"/>
      <c r="E62" s="1"/>
      <c r="F62" s="1"/>
    </row>
    <row r="63" spans="1:6">
      <c r="A63">
        <v>61</v>
      </c>
      <c r="D63" s="1"/>
      <c r="E63" s="1"/>
      <c r="F63" s="1"/>
    </row>
    <row r="64" spans="1:6">
      <c r="A64">
        <v>62</v>
      </c>
      <c r="D64" s="1"/>
      <c r="E64" s="1"/>
      <c r="F64" s="1"/>
    </row>
    <row r="65" spans="1:6">
      <c r="A65">
        <v>63</v>
      </c>
      <c r="D65" s="1"/>
      <c r="E65" s="1"/>
      <c r="F65" s="1"/>
    </row>
    <row r="66" spans="1:6">
      <c r="A66">
        <v>64</v>
      </c>
      <c r="D66" s="1"/>
      <c r="E66" s="1"/>
      <c r="F66" s="1"/>
    </row>
    <row r="67" spans="1:6">
      <c r="A67">
        <v>65</v>
      </c>
      <c r="D67" s="1"/>
      <c r="E67" s="1"/>
      <c r="F67" s="1"/>
    </row>
    <row r="68" spans="1:6">
      <c r="A68">
        <v>66</v>
      </c>
      <c r="D68" s="1"/>
      <c r="E68" s="1"/>
      <c r="F68" s="1"/>
    </row>
    <row r="69" spans="1:6">
      <c r="A69">
        <v>67</v>
      </c>
      <c r="D69" s="1"/>
      <c r="E69" s="1"/>
      <c r="F69" s="1"/>
    </row>
    <row r="70" spans="1:6">
      <c r="A70">
        <v>68</v>
      </c>
      <c r="D70" s="1"/>
      <c r="E70" s="1"/>
      <c r="F70" s="1"/>
    </row>
    <row r="71" spans="1:6">
      <c r="A71">
        <v>69</v>
      </c>
      <c r="D71" s="1"/>
      <c r="E71" s="1"/>
      <c r="F71" s="1"/>
    </row>
    <row r="72" spans="1:6">
      <c r="A72">
        <v>70</v>
      </c>
      <c r="D72" s="1"/>
      <c r="E72" s="1"/>
      <c r="F72" s="1"/>
    </row>
    <row r="73" spans="1:6">
      <c r="A73">
        <v>71</v>
      </c>
      <c r="D73" s="1"/>
      <c r="E73" s="1"/>
      <c r="F73" s="1"/>
    </row>
    <row r="74" spans="1:6">
      <c r="A74">
        <v>72</v>
      </c>
      <c r="D74" s="1"/>
      <c r="E74" s="1"/>
      <c r="F74" s="1"/>
    </row>
    <row r="75" spans="1:6">
      <c r="A75">
        <v>73</v>
      </c>
      <c r="D75" s="1"/>
      <c r="E75" s="1"/>
      <c r="F75" s="1"/>
    </row>
    <row r="76" spans="1:6">
      <c r="A76">
        <v>74</v>
      </c>
      <c r="D76" s="1"/>
      <c r="E76" s="1"/>
      <c r="F76" s="1"/>
    </row>
    <row r="77" spans="1:6">
      <c r="A77">
        <v>75</v>
      </c>
      <c r="D77" s="1"/>
      <c r="E77" s="1"/>
      <c r="F77" s="1"/>
    </row>
    <row r="78" spans="1:6">
      <c r="A78">
        <v>76</v>
      </c>
      <c r="D78" s="1"/>
      <c r="E78" s="1"/>
      <c r="F78" s="1"/>
    </row>
    <row r="79" spans="1:6">
      <c r="A79">
        <v>77</v>
      </c>
      <c r="D79" s="1"/>
      <c r="E79" s="1"/>
      <c r="F79" s="1"/>
    </row>
    <row r="80" spans="1:6">
      <c r="A80">
        <v>78</v>
      </c>
      <c r="D80" s="1"/>
      <c r="E80" s="1"/>
      <c r="F80" s="1"/>
    </row>
    <row r="81" spans="1:6">
      <c r="A81">
        <v>79</v>
      </c>
      <c r="D81" s="1"/>
      <c r="E81" s="1"/>
      <c r="F81" s="1"/>
    </row>
    <row r="82" spans="1:6">
      <c r="A82">
        <v>80</v>
      </c>
      <c r="D82" s="1"/>
      <c r="E82" s="1"/>
      <c r="F82" s="1"/>
    </row>
    <row r="83" spans="1:6">
      <c r="A83">
        <v>81</v>
      </c>
      <c r="D83" s="1"/>
      <c r="E83" s="1"/>
      <c r="F83" s="1"/>
    </row>
    <row r="84" spans="1:6">
      <c r="A84">
        <v>82</v>
      </c>
      <c r="D84" s="1"/>
      <c r="E84" s="1"/>
      <c r="F84" s="1"/>
    </row>
    <row r="85" spans="1:6">
      <c r="A85">
        <v>83</v>
      </c>
      <c r="D85" s="1"/>
      <c r="E85" s="1"/>
      <c r="F85" s="1"/>
    </row>
    <row r="86" spans="1:6">
      <c r="A86">
        <v>84</v>
      </c>
      <c r="D86" s="1"/>
      <c r="E86" s="1"/>
      <c r="F86" s="1"/>
    </row>
    <row r="87" spans="1:6">
      <c r="A87">
        <v>85</v>
      </c>
      <c r="D87" s="1"/>
      <c r="E87" s="1"/>
      <c r="F87" s="1"/>
    </row>
    <row r="88" spans="1:6">
      <c r="A88">
        <v>86</v>
      </c>
      <c r="D88" s="1"/>
      <c r="E88" s="1"/>
      <c r="F88" s="1"/>
    </row>
    <row r="89" spans="1:6">
      <c r="A89">
        <v>87</v>
      </c>
      <c r="D89" s="1"/>
      <c r="E89" s="1"/>
      <c r="F89" s="1"/>
    </row>
    <row r="90" spans="1:6">
      <c r="A90">
        <v>88</v>
      </c>
      <c r="D90" s="1"/>
      <c r="E90" s="1"/>
      <c r="F90" s="1"/>
    </row>
    <row r="91" spans="1:6">
      <c r="A91">
        <v>89</v>
      </c>
      <c r="D91" s="1"/>
      <c r="E91" s="1"/>
      <c r="F91" s="1"/>
    </row>
    <row r="92" spans="1:6">
      <c r="A92">
        <v>90</v>
      </c>
      <c r="D92" s="1"/>
      <c r="E92" s="1"/>
      <c r="F92" s="1"/>
    </row>
    <row r="93" spans="1:6">
      <c r="A93">
        <v>91</v>
      </c>
      <c r="D93" s="1"/>
      <c r="E93" s="1"/>
      <c r="F93" s="1"/>
    </row>
    <row r="94" spans="1:6">
      <c r="A94">
        <v>92</v>
      </c>
      <c r="D94" s="1"/>
      <c r="E94" s="1"/>
      <c r="F94" s="1"/>
    </row>
    <row r="95" spans="1:6">
      <c r="A95">
        <v>93</v>
      </c>
      <c r="D95" s="1"/>
      <c r="E95" s="1"/>
      <c r="F95" s="1"/>
    </row>
    <row r="96" spans="1:6">
      <c r="A96">
        <v>94</v>
      </c>
      <c r="D96" s="1"/>
      <c r="E96" s="1"/>
      <c r="F96" s="1"/>
    </row>
    <row r="97" spans="1:6">
      <c r="A97">
        <v>95</v>
      </c>
      <c r="D97" s="1"/>
      <c r="E97" s="1"/>
      <c r="F97" s="1"/>
    </row>
    <row r="98" spans="1:6">
      <c r="A98">
        <v>96</v>
      </c>
      <c r="D98" s="1"/>
      <c r="E98" s="1"/>
      <c r="F98" s="1"/>
    </row>
    <row r="99" spans="1:6">
      <c r="A99">
        <v>97</v>
      </c>
      <c r="D99" s="1"/>
      <c r="E99" s="1"/>
      <c r="F99" s="1"/>
    </row>
    <row r="100" spans="1:6">
      <c r="A100">
        <v>98</v>
      </c>
      <c r="D100" s="1"/>
      <c r="E100" s="1"/>
      <c r="F100" s="1"/>
    </row>
    <row r="101" spans="1:6">
      <c r="A101">
        <v>99</v>
      </c>
      <c r="D101" s="1"/>
      <c r="E101" s="1"/>
      <c r="F101" s="1"/>
    </row>
    <row r="102" spans="1:6">
      <c r="A102">
        <v>100</v>
      </c>
      <c r="D102" s="1"/>
      <c r="E102" s="1"/>
      <c r="F102" s="1"/>
    </row>
    <row r="103" spans="1:6">
      <c r="A103">
        <v>101</v>
      </c>
      <c r="D103" s="1"/>
      <c r="E103" s="1"/>
      <c r="F103" s="1"/>
    </row>
    <row r="104" spans="1:6">
      <c r="A104">
        <v>102</v>
      </c>
      <c r="D104" s="1"/>
      <c r="E104" s="1"/>
      <c r="F104" s="1"/>
    </row>
    <row r="105" spans="1:6">
      <c r="A105">
        <v>103</v>
      </c>
      <c r="D105" s="1"/>
      <c r="E105" s="1"/>
      <c r="F105" s="1"/>
    </row>
    <row r="106" spans="1:6">
      <c r="A106">
        <v>104</v>
      </c>
      <c r="D106" s="1"/>
      <c r="E106" s="1"/>
      <c r="F106" s="1"/>
    </row>
    <row r="107" spans="1:6">
      <c r="A107">
        <v>105</v>
      </c>
      <c r="D107" s="1"/>
      <c r="E107" s="1"/>
      <c r="F107" s="1"/>
    </row>
    <row r="108" spans="1:6">
      <c r="A108">
        <v>106</v>
      </c>
      <c r="D108" s="1"/>
      <c r="E108" s="1"/>
      <c r="F108" s="1"/>
    </row>
    <row r="109" spans="1:6">
      <c r="A109">
        <v>107</v>
      </c>
      <c r="D109" s="1"/>
      <c r="E109" s="1"/>
      <c r="F109" s="1"/>
    </row>
    <row r="110" spans="1:6">
      <c r="A110">
        <v>108</v>
      </c>
      <c r="D110" s="1"/>
      <c r="E110" s="1"/>
      <c r="F110" s="1"/>
    </row>
    <row r="111" spans="1:6">
      <c r="A111">
        <v>109</v>
      </c>
      <c r="D111" s="1"/>
      <c r="E111" s="1"/>
      <c r="F111" s="1"/>
    </row>
    <row r="112" spans="1:6">
      <c r="A112">
        <v>110</v>
      </c>
      <c r="D112" s="1"/>
      <c r="E112" s="1"/>
      <c r="F112" s="1"/>
    </row>
    <row r="113" spans="1:6">
      <c r="A113">
        <v>111</v>
      </c>
      <c r="D113" s="1"/>
      <c r="E113" s="1"/>
      <c r="F113" s="1"/>
    </row>
    <row r="114" spans="1:6">
      <c r="A114">
        <v>112</v>
      </c>
      <c r="D114" s="1"/>
      <c r="E114" s="1"/>
      <c r="F114" s="1"/>
    </row>
    <row r="115" spans="1:6">
      <c r="A115">
        <v>113</v>
      </c>
      <c r="D115" s="1"/>
      <c r="E115" s="1"/>
      <c r="F115" s="1"/>
    </row>
    <row r="116" spans="1:6">
      <c r="A116">
        <v>114</v>
      </c>
      <c r="D116" s="1"/>
      <c r="E116" s="1"/>
      <c r="F116" s="1"/>
    </row>
    <row r="117" spans="1:6">
      <c r="A117">
        <v>115</v>
      </c>
      <c r="D117" s="1"/>
      <c r="E117" s="1"/>
      <c r="F117" s="1"/>
    </row>
    <row r="118" spans="1:6">
      <c r="A118">
        <v>116</v>
      </c>
      <c r="D118" s="1"/>
      <c r="E118" s="1"/>
      <c r="F118" s="1"/>
    </row>
    <row r="119" spans="1:6">
      <c r="A119">
        <v>117</v>
      </c>
      <c r="D119" s="1"/>
      <c r="E119" s="1"/>
      <c r="F119" s="1"/>
    </row>
    <row r="120" spans="1:6">
      <c r="A120">
        <v>118</v>
      </c>
      <c r="D120" s="1"/>
      <c r="E120" s="1"/>
      <c r="F120" s="1"/>
    </row>
    <row r="121" spans="1:6">
      <c r="A121">
        <v>119</v>
      </c>
      <c r="D121" s="1"/>
      <c r="E121" s="1"/>
      <c r="F121" s="1"/>
    </row>
    <row r="122" spans="1:6">
      <c r="A122">
        <v>120</v>
      </c>
      <c r="D122" s="1"/>
      <c r="E122" s="1"/>
      <c r="F122" s="1"/>
    </row>
    <row r="123" spans="1:6">
      <c r="A123">
        <v>121</v>
      </c>
      <c r="D123" s="1"/>
      <c r="E123" s="1"/>
      <c r="F123" s="1"/>
    </row>
    <row r="124" spans="1:6">
      <c r="A124">
        <v>122</v>
      </c>
      <c r="D124" s="1"/>
      <c r="E124" s="1"/>
      <c r="F124" s="1"/>
    </row>
    <row r="125" spans="1:6">
      <c r="A125">
        <v>123</v>
      </c>
      <c r="D125" s="1"/>
      <c r="E125" s="1"/>
      <c r="F125" s="1"/>
    </row>
    <row r="126" spans="1:6">
      <c r="A126">
        <v>124</v>
      </c>
      <c r="D126" s="1"/>
      <c r="E126" s="1"/>
      <c r="F126" s="1"/>
    </row>
    <row r="127" spans="1:6">
      <c r="A127">
        <v>125</v>
      </c>
      <c r="D127" s="1"/>
      <c r="E127" s="1"/>
      <c r="F127" s="1"/>
    </row>
    <row r="128" spans="1:6">
      <c r="A128">
        <v>126</v>
      </c>
      <c r="D128" s="1"/>
      <c r="E128" s="1"/>
      <c r="F128" s="1"/>
    </row>
    <row r="129" spans="1:6">
      <c r="A129">
        <v>127</v>
      </c>
      <c r="D129" s="1"/>
      <c r="E129" s="1"/>
      <c r="F129" s="1"/>
    </row>
    <row r="130" spans="1:6">
      <c r="A130">
        <v>128</v>
      </c>
      <c r="D130" s="1"/>
      <c r="E130" s="1"/>
      <c r="F130" s="1"/>
    </row>
    <row r="131" spans="1:6">
      <c r="A131">
        <v>129</v>
      </c>
      <c r="D131" s="1"/>
      <c r="E131" s="1"/>
      <c r="F131" s="1"/>
    </row>
    <row r="132" spans="1:6">
      <c r="A132">
        <v>130</v>
      </c>
      <c r="D132" s="1"/>
      <c r="E132" s="1"/>
      <c r="F132" s="1"/>
    </row>
    <row r="133" spans="1:6">
      <c r="A133">
        <v>131</v>
      </c>
      <c r="D133" s="1"/>
      <c r="E133" s="1"/>
      <c r="F133" s="1"/>
    </row>
    <row r="134" spans="1:6">
      <c r="A134">
        <v>132</v>
      </c>
      <c r="D134" s="1"/>
      <c r="E134" s="1"/>
      <c r="F134" s="1"/>
    </row>
    <row r="135" spans="1:6">
      <c r="A135">
        <v>133</v>
      </c>
      <c r="D135" s="1"/>
      <c r="E135" s="1"/>
      <c r="F135" s="1"/>
    </row>
  </sheetData>
  <mergeCells count="25">
    <mergeCell ref="M41:M42"/>
    <mergeCell ref="F41:F42"/>
    <mergeCell ref="C41:C42"/>
    <mergeCell ref="D41:D42"/>
    <mergeCell ref="E41:E42"/>
    <mergeCell ref="G41:G42"/>
    <mergeCell ref="L39:L40"/>
    <mergeCell ref="L41:L42"/>
    <mergeCell ref="J41:J42"/>
    <mergeCell ref="O1:Q10"/>
    <mergeCell ref="O11:Q20"/>
    <mergeCell ref="O21:Q29"/>
    <mergeCell ref="O30:P38"/>
    <mergeCell ref="A39:A40"/>
    <mergeCell ref="B39:B40"/>
    <mergeCell ref="C39:C40"/>
    <mergeCell ref="D39:D40"/>
    <mergeCell ref="E39:E40"/>
    <mergeCell ref="F39:F40"/>
    <mergeCell ref="O39:Q42"/>
    <mergeCell ref="G39:G40"/>
    <mergeCell ref="J39:J40"/>
    <mergeCell ref="M39:M40"/>
    <mergeCell ref="A41:A42"/>
    <mergeCell ref="B41:B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Samburskyi Volodymyr</dc:creator>
  <cp:keywords/>
  <dc:description/>
  <cp:lastModifiedBy>Samburskyi Volodymyr</cp:lastModifiedBy>
  <cp:revision/>
  <dcterms:created xsi:type="dcterms:W3CDTF">2025-12-12T16:22:00Z</dcterms:created>
  <dcterms:modified xsi:type="dcterms:W3CDTF">2025-12-12T20:49:51Z</dcterms:modified>
  <cp:category/>
  <cp:contentStatus/>
</cp:coreProperties>
</file>